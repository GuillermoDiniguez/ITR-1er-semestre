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2\OneDrive\Desktop\1er semestre\introducción a la programación\"/>
    </mc:Choice>
  </mc:AlternateContent>
  <xr:revisionPtr revIDLastSave="0" documentId="13_ncr:1_{4EFAAF45-C789-4AFF-ADD4-DDD9D8AD75EE}" xr6:coauthVersionLast="47" xr6:coauthVersionMax="47" xr10:uidLastSave="{00000000-0000-0000-0000-000000000000}"/>
  <bookViews>
    <workbookView xWindow="11424" yWindow="0" windowWidth="11712" windowHeight="12336" xr2:uid="{179A5E95-5879-409E-85B6-DC25A8ACF3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19" i="1"/>
  <c r="A26" i="1"/>
  <c r="A5" i="1"/>
  <c r="K10" i="1"/>
  <c r="I12" i="1" s="1"/>
  <c r="M10" i="1"/>
  <c r="J5" i="2"/>
  <c r="I5" i="2"/>
  <c r="G5" i="2"/>
  <c r="I5" i="1"/>
  <c r="C14" i="2"/>
  <c r="C13" i="2"/>
  <c r="B13" i="2"/>
  <c r="A13" i="2"/>
  <c r="C12" i="2"/>
  <c r="B12" i="2"/>
  <c r="A12" i="2"/>
  <c r="A33" i="1"/>
  <c r="C7" i="2"/>
  <c r="C6" i="2"/>
  <c r="B6" i="2"/>
  <c r="A6" i="2"/>
  <c r="C5" i="2"/>
  <c r="B5" i="2"/>
  <c r="A5" i="2"/>
  <c r="A12" i="1"/>
  <c r="E17" i="1"/>
  <c r="A19" i="1" s="1"/>
</calcChain>
</file>

<file path=xl/sharedStrings.xml><?xml version="1.0" encoding="utf-8"?>
<sst xmlns="http://schemas.openxmlformats.org/spreadsheetml/2006/main" count="41" uniqueCount="18">
  <si>
    <t>1)</t>
  </si>
  <si>
    <t>x</t>
  </si>
  <si>
    <t>a</t>
  </si>
  <si>
    <t>b</t>
  </si>
  <si>
    <t>2)</t>
  </si>
  <si>
    <t>c</t>
  </si>
  <si>
    <t>3)</t>
  </si>
  <si>
    <t>y</t>
  </si>
  <si>
    <t>z</t>
  </si>
  <si>
    <t>4)</t>
  </si>
  <si>
    <t>5)</t>
  </si>
  <si>
    <t>p</t>
  </si>
  <si>
    <t>q</t>
  </si>
  <si>
    <t>6)</t>
  </si>
  <si>
    <t>7)</t>
  </si>
  <si>
    <t>8)</t>
  </si>
  <si>
    <t>n</t>
  </si>
  <si>
    <t>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</si>
</sst>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164" fontId="0" fillId="0" borderId="0" xfId="0" applyNumberFormat="1"/>
    <xf numFmtId="164" fontId="0" fillId="0" borderId="8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164" fontId="0" fillId="3" borderId="17" xfId="0" applyNumberFormat="1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ADB6-C7A8-4A23-A7D6-7D5EEC097ED8}">
  <dimension ref="A1:P35"/>
  <sheetViews>
    <sheetView tabSelected="1" zoomScale="65" zoomScaleNormal="87" workbookViewId="0">
      <selection activeCell="O38" sqref="O38"/>
    </sheetView>
  </sheetViews>
  <sheetFormatPr defaultRowHeight="14.4" x14ac:dyDescent="0.3"/>
  <sheetData>
    <row r="1" spans="1:16" x14ac:dyDescent="0.3">
      <c r="A1" s="8" t="s">
        <v>0</v>
      </c>
      <c r="B1" s="9"/>
      <c r="C1" s="31" t="s">
        <v>1</v>
      </c>
      <c r="D1" s="32"/>
      <c r="E1" s="32" t="s">
        <v>2</v>
      </c>
      <c r="F1" s="32"/>
      <c r="G1" s="32" t="s">
        <v>3</v>
      </c>
      <c r="H1" s="39"/>
      <c r="I1" s="8" t="s">
        <v>13</v>
      </c>
      <c r="J1" s="9"/>
      <c r="K1" s="31" t="s">
        <v>1</v>
      </c>
      <c r="L1" s="32"/>
      <c r="M1" s="32" t="s">
        <v>7</v>
      </c>
      <c r="N1" s="32"/>
      <c r="O1" s="32" t="s">
        <v>8</v>
      </c>
      <c r="P1" s="39"/>
    </row>
    <row r="2" spans="1:16" x14ac:dyDescent="0.3">
      <c r="A2" s="10"/>
      <c r="B2" s="11"/>
      <c r="C2" s="33"/>
      <c r="D2" s="34"/>
      <c r="E2" s="34"/>
      <c r="F2" s="34"/>
      <c r="G2" s="34"/>
      <c r="H2" s="40"/>
      <c r="I2" s="10"/>
      <c r="J2" s="11"/>
      <c r="K2" s="33"/>
      <c r="L2" s="34"/>
      <c r="M2" s="34"/>
      <c r="N2" s="34"/>
      <c r="O2" s="34"/>
      <c r="P2" s="40"/>
    </row>
    <row r="3" spans="1:16" x14ac:dyDescent="0.3">
      <c r="A3" s="10"/>
      <c r="B3" s="11"/>
      <c r="C3" s="35">
        <v>-3</v>
      </c>
      <c r="D3" s="36"/>
      <c r="E3" s="36">
        <v>-2</v>
      </c>
      <c r="F3" s="36"/>
      <c r="G3" s="36">
        <v>-7</v>
      </c>
      <c r="H3" s="41"/>
      <c r="I3" s="10"/>
      <c r="J3" s="11"/>
      <c r="K3" s="35">
        <v>-8</v>
      </c>
      <c r="L3" s="36"/>
      <c r="M3" s="36">
        <v>2</v>
      </c>
      <c r="N3" s="36"/>
      <c r="O3" s="56">
        <v>0.25</v>
      </c>
      <c r="P3" s="57"/>
    </row>
    <row r="4" spans="1:16" ht="15" thickBot="1" x14ac:dyDescent="0.35">
      <c r="A4" s="12"/>
      <c r="B4" s="13"/>
      <c r="C4" s="37"/>
      <c r="D4" s="38"/>
      <c r="E4" s="38"/>
      <c r="F4" s="38"/>
      <c r="G4" s="38"/>
      <c r="H4" s="42"/>
      <c r="I4" s="12"/>
      <c r="J4" s="13"/>
      <c r="K4" s="37"/>
      <c r="L4" s="38"/>
      <c r="M4" s="38"/>
      <c r="N4" s="38"/>
      <c r="O4" s="66"/>
      <c r="P4" s="67"/>
    </row>
    <row r="5" spans="1:16" x14ac:dyDescent="0.3">
      <c r="A5" s="43">
        <f>SUM(-2*(C3)^2+(E3)*(C3)-(G3))</f>
        <v>-5</v>
      </c>
      <c r="B5" s="44"/>
      <c r="C5" s="44"/>
      <c r="D5" s="44"/>
      <c r="E5" s="44"/>
      <c r="F5" s="44"/>
      <c r="G5" s="44"/>
      <c r="H5" s="45"/>
      <c r="I5" s="5">
        <f>SUM((M3)^-2*(O3)*K3^(1/3))</f>
        <v>-0.12499999999999999</v>
      </c>
      <c r="J5" s="44"/>
      <c r="K5" s="44"/>
      <c r="L5" s="44"/>
      <c r="M5" s="44"/>
      <c r="N5" s="44"/>
      <c r="O5" s="44"/>
      <c r="P5" s="45"/>
    </row>
    <row r="6" spans="1:16" x14ac:dyDescent="0.3">
      <c r="A6" s="43"/>
      <c r="B6" s="44"/>
      <c r="C6" s="44"/>
      <c r="D6" s="44"/>
      <c r="E6" s="44"/>
      <c r="F6" s="44"/>
      <c r="G6" s="44"/>
      <c r="H6" s="45"/>
      <c r="I6" s="43"/>
      <c r="J6" s="44"/>
      <c r="K6" s="44"/>
      <c r="L6" s="44"/>
      <c r="M6" s="44"/>
      <c r="N6" s="44"/>
      <c r="O6" s="44"/>
      <c r="P6" s="45"/>
    </row>
    <row r="7" spans="1:16" ht="15" thickBot="1" x14ac:dyDescent="0.35">
      <c r="A7" s="43"/>
      <c r="B7" s="44"/>
      <c r="C7" s="44"/>
      <c r="D7" s="44"/>
      <c r="E7" s="44"/>
      <c r="F7" s="44"/>
      <c r="G7" s="44"/>
      <c r="H7" s="45"/>
      <c r="I7" s="43"/>
      <c r="J7" s="44"/>
      <c r="K7" s="44"/>
      <c r="L7" s="44"/>
      <c r="M7" s="44"/>
      <c r="N7" s="44"/>
      <c r="O7" s="44"/>
      <c r="P7" s="45"/>
    </row>
    <row r="8" spans="1:16" x14ac:dyDescent="0.3">
      <c r="A8" s="46" t="s">
        <v>4</v>
      </c>
      <c r="B8" s="47"/>
      <c r="C8" s="32" t="s">
        <v>1</v>
      </c>
      <c r="D8" s="32"/>
      <c r="E8" s="32" t="s">
        <v>2</v>
      </c>
      <c r="F8" s="32"/>
      <c r="G8" s="32" t="s">
        <v>5</v>
      </c>
      <c r="H8" s="39"/>
      <c r="I8" s="8" t="s">
        <v>14</v>
      </c>
      <c r="J8" s="9"/>
      <c r="K8" s="14" t="s">
        <v>1</v>
      </c>
      <c r="L8" s="15"/>
      <c r="M8" s="18" t="s">
        <v>7</v>
      </c>
      <c r="N8" s="15"/>
      <c r="O8" s="18" t="s">
        <v>8</v>
      </c>
      <c r="P8" s="20"/>
    </row>
    <row r="9" spans="1:16" x14ac:dyDescent="0.3">
      <c r="A9" s="48"/>
      <c r="B9" s="49"/>
      <c r="C9" s="34"/>
      <c r="D9" s="34"/>
      <c r="E9" s="34"/>
      <c r="F9" s="34"/>
      <c r="G9" s="34"/>
      <c r="H9" s="40"/>
      <c r="I9" s="10"/>
      <c r="J9" s="11"/>
      <c r="K9" s="16"/>
      <c r="L9" s="17"/>
      <c r="M9" s="19"/>
      <c r="N9" s="17"/>
      <c r="O9" s="19"/>
      <c r="P9" s="21"/>
    </row>
    <row r="10" spans="1:16" x14ac:dyDescent="0.3">
      <c r="A10" s="48"/>
      <c r="B10" s="49"/>
      <c r="C10" s="36">
        <v>-1</v>
      </c>
      <c r="D10" s="36"/>
      <c r="E10" s="36">
        <v>49</v>
      </c>
      <c r="F10" s="36"/>
      <c r="G10" s="36">
        <v>7</v>
      </c>
      <c r="H10" s="41"/>
      <c r="I10" s="10"/>
      <c r="J10" s="11"/>
      <c r="K10" s="22">
        <f>SUM(2^(1/2))</f>
        <v>1.4142135623730951</v>
      </c>
      <c r="L10" s="23"/>
      <c r="M10" s="26">
        <f>SUM(8^(1/2))</f>
        <v>2.8284271247461903</v>
      </c>
      <c r="N10" s="23"/>
      <c r="O10" s="26">
        <v>-1</v>
      </c>
      <c r="P10" s="28"/>
    </row>
    <row r="11" spans="1:16" ht="15" thickBot="1" x14ac:dyDescent="0.35">
      <c r="A11" s="48"/>
      <c r="B11" s="49"/>
      <c r="C11" s="36"/>
      <c r="D11" s="36"/>
      <c r="E11" s="36"/>
      <c r="F11" s="36"/>
      <c r="G11" s="36"/>
      <c r="H11" s="41"/>
      <c r="I11" s="12"/>
      <c r="J11" s="13"/>
      <c r="K11" s="24"/>
      <c r="L11" s="25"/>
      <c r="M11" s="27"/>
      <c r="N11" s="25"/>
      <c r="O11" s="27"/>
      <c r="P11" s="29"/>
    </row>
    <row r="12" spans="1:16" x14ac:dyDescent="0.3">
      <c r="A12" s="50">
        <f>SUM(3*(C10)^3+((E10)*(C10))/G10+3)</f>
        <v>-7</v>
      </c>
      <c r="B12" s="51"/>
      <c r="C12" s="51"/>
      <c r="D12" s="51"/>
      <c r="E12" s="51"/>
      <c r="F12" s="51"/>
      <c r="G12" s="51"/>
      <c r="H12" s="52"/>
      <c r="I12" s="2">
        <f>SUM((3*K10^2)-(2*K10*M10)+(1/2*K10^4*O10)-(3/4*M10^2*O10^3))</f>
        <v>2.0000000000000009</v>
      </c>
      <c r="J12" s="3"/>
      <c r="K12" s="3"/>
      <c r="L12" s="3"/>
      <c r="M12" s="3"/>
      <c r="N12" s="3"/>
      <c r="O12" s="3"/>
      <c r="P12" s="4"/>
    </row>
    <row r="13" spans="1:16" x14ac:dyDescent="0.3">
      <c r="A13" s="50"/>
      <c r="B13" s="51"/>
      <c r="C13" s="51"/>
      <c r="D13" s="51"/>
      <c r="E13" s="51"/>
      <c r="F13" s="51"/>
      <c r="G13" s="51"/>
      <c r="H13" s="52"/>
      <c r="I13" s="5"/>
      <c r="J13" s="6"/>
      <c r="K13" s="6"/>
      <c r="L13" s="6"/>
      <c r="M13" s="6"/>
      <c r="N13" s="6"/>
      <c r="O13" s="6"/>
      <c r="P13" s="7"/>
    </row>
    <row r="14" spans="1:16" ht="15" thickBot="1" x14ac:dyDescent="0.35">
      <c r="A14" s="53"/>
      <c r="B14" s="54"/>
      <c r="C14" s="54"/>
      <c r="D14" s="54"/>
      <c r="E14" s="54"/>
      <c r="F14" s="54"/>
      <c r="G14" s="54"/>
      <c r="H14" s="55"/>
      <c r="I14" s="5"/>
      <c r="J14" s="6"/>
      <c r="K14" s="6"/>
      <c r="L14" s="6"/>
      <c r="M14" s="6"/>
      <c r="N14" s="6"/>
      <c r="O14" s="6"/>
      <c r="P14" s="7"/>
    </row>
    <row r="15" spans="1:16" x14ac:dyDescent="0.3">
      <c r="A15" s="46" t="s">
        <v>6</v>
      </c>
      <c r="B15" s="47"/>
      <c r="C15" s="32" t="s">
        <v>1</v>
      </c>
      <c r="D15" s="32"/>
      <c r="E15" s="32" t="s">
        <v>7</v>
      </c>
      <c r="F15" s="32"/>
      <c r="G15" s="32" t="s">
        <v>8</v>
      </c>
      <c r="H15" s="39"/>
      <c r="I15" s="8" t="s">
        <v>15</v>
      </c>
      <c r="J15" s="9"/>
      <c r="K15" s="14" t="s">
        <v>16</v>
      </c>
      <c r="L15" s="15"/>
      <c r="M15" s="18"/>
      <c r="N15" s="15"/>
      <c r="O15" s="18"/>
      <c r="P15" s="20"/>
    </row>
    <row r="16" spans="1:16" x14ac:dyDescent="0.3">
      <c r="A16" s="48"/>
      <c r="B16" s="49"/>
      <c r="C16" s="34"/>
      <c r="D16" s="34"/>
      <c r="E16" s="34"/>
      <c r="F16" s="34"/>
      <c r="G16" s="34"/>
      <c r="H16" s="40"/>
      <c r="I16" s="10"/>
      <c r="J16" s="11"/>
      <c r="K16" s="16"/>
      <c r="L16" s="17"/>
      <c r="M16" s="19"/>
      <c r="N16" s="17"/>
      <c r="O16" s="19"/>
      <c r="P16" s="21"/>
    </row>
    <row r="17" spans="1:16" x14ac:dyDescent="0.3">
      <c r="A17" s="48"/>
      <c r="B17" s="49"/>
      <c r="C17" s="56">
        <v>0.5</v>
      </c>
      <c r="D17" s="56"/>
      <c r="E17" s="56">
        <f>-3/4</f>
        <v>-0.75</v>
      </c>
      <c r="F17" s="56"/>
      <c r="G17" s="56">
        <v>1.6666666666666667</v>
      </c>
      <c r="H17" s="57"/>
      <c r="I17" s="10"/>
      <c r="J17" s="11"/>
      <c r="K17" s="22">
        <v>3</v>
      </c>
      <c r="L17" s="23"/>
      <c r="M17" s="26"/>
      <c r="N17" s="23"/>
      <c r="O17" s="26"/>
      <c r="P17" s="28"/>
    </row>
    <row r="18" spans="1:16" ht="15" thickBot="1" x14ac:dyDescent="0.35">
      <c r="A18" s="48"/>
      <c r="B18" s="49"/>
      <c r="C18" s="56"/>
      <c r="D18" s="56"/>
      <c r="E18" s="56"/>
      <c r="F18" s="56"/>
      <c r="G18" s="56"/>
      <c r="H18" s="57"/>
      <c r="I18" s="12"/>
      <c r="J18" s="13"/>
      <c r="K18" s="24"/>
      <c r="L18" s="25"/>
      <c r="M18" s="27"/>
      <c r="N18" s="25"/>
      <c r="O18" s="27"/>
      <c r="P18" s="29"/>
    </row>
    <row r="19" spans="1:16" x14ac:dyDescent="0.3">
      <c r="A19" s="58">
        <f>SUM(3/5*(C17)^3*(E17)^2*((G17)))</f>
        <v>7.03125E-2</v>
      </c>
      <c r="B19" s="51"/>
      <c r="C19" s="51"/>
      <c r="D19" s="51"/>
      <c r="E19" s="51"/>
      <c r="F19" s="51"/>
      <c r="G19" s="51"/>
      <c r="H19" s="52"/>
      <c r="I19" s="2">
        <f>SUM((2*((9*K17)^(1/2)))-(5*((4*K17)^(1/2)))+(4*(K17^(1/2))))</f>
        <v>1.7763568394002505E-15</v>
      </c>
      <c r="J19" s="3"/>
      <c r="K19" s="3"/>
      <c r="L19" s="3"/>
      <c r="M19" s="3"/>
      <c r="N19" s="3"/>
      <c r="O19" s="3"/>
      <c r="P19" s="4"/>
    </row>
    <row r="20" spans="1:16" x14ac:dyDescent="0.3">
      <c r="A20" s="50"/>
      <c r="B20" s="51"/>
      <c r="C20" s="51"/>
      <c r="D20" s="51"/>
      <c r="E20" s="51"/>
      <c r="F20" s="51"/>
      <c r="G20" s="51"/>
      <c r="H20" s="52"/>
      <c r="I20" s="5"/>
      <c r="J20" s="6"/>
      <c r="K20" s="6"/>
      <c r="L20" s="6"/>
      <c r="M20" s="6"/>
      <c r="N20" s="6"/>
      <c r="O20" s="6"/>
      <c r="P20" s="7"/>
    </row>
    <row r="21" spans="1:16" ht="15" thickBot="1" x14ac:dyDescent="0.35">
      <c r="A21" s="53"/>
      <c r="B21" s="54"/>
      <c r="C21" s="54"/>
      <c r="D21" s="54"/>
      <c r="E21" s="54"/>
      <c r="F21" s="54"/>
      <c r="G21" s="54"/>
      <c r="H21" s="55"/>
      <c r="I21" s="5"/>
      <c r="J21" s="6"/>
      <c r="K21" s="6"/>
      <c r="L21" s="6"/>
      <c r="M21" s="6"/>
      <c r="N21" s="6"/>
      <c r="O21" s="6"/>
      <c r="P21" s="7"/>
    </row>
    <row r="22" spans="1:16" x14ac:dyDescent="0.3">
      <c r="A22" s="46" t="s">
        <v>9</v>
      </c>
      <c r="B22" s="47"/>
      <c r="C22" s="32" t="s">
        <v>1</v>
      </c>
      <c r="D22" s="32"/>
      <c r="E22" s="32" t="s">
        <v>7</v>
      </c>
      <c r="F22" s="32"/>
      <c r="G22" s="32"/>
      <c r="H22" s="39"/>
      <c r="I22" s="8" t="s">
        <v>17</v>
      </c>
      <c r="J22" s="9"/>
      <c r="K22" s="14" t="s">
        <v>2</v>
      </c>
      <c r="L22" s="15"/>
      <c r="M22" s="18" t="s">
        <v>3</v>
      </c>
      <c r="N22" s="15"/>
      <c r="O22" s="18"/>
      <c r="P22" s="20"/>
    </row>
    <row r="23" spans="1:16" x14ac:dyDescent="0.3">
      <c r="A23" s="48"/>
      <c r="B23" s="49"/>
      <c r="C23" s="34"/>
      <c r="D23" s="34"/>
      <c r="E23" s="34"/>
      <c r="F23" s="34"/>
      <c r="G23" s="34"/>
      <c r="H23" s="40"/>
      <c r="I23" s="10"/>
      <c r="J23" s="11"/>
      <c r="K23" s="16"/>
      <c r="L23" s="17"/>
      <c r="M23" s="19"/>
      <c r="N23" s="17"/>
      <c r="O23" s="19"/>
      <c r="P23" s="21"/>
    </row>
    <row r="24" spans="1:16" x14ac:dyDescent="0.3">
      <c r="A24" s="48"/>
      <c r="B24" s="49"/>
      <c r="C24" s="59">
        <v>-3</v>
      </c>
      <c r="D24" s="59"/>
      <c r="E24" s="59">
        <v>6</v>
      </c>
      <c r="F24" s="59"/>
      <c r="G24" s="56"/>
      <c r="H24" s="57"/>
      <c r="I24" s="10"/>
      <c r="J24" s="11"/>
      <c r="K24" s="22">
        <v>5</v>
      </c>
      <c r="L24" s="23"/>
      <c r="M24" s="26">
        <v>4</v>
      </c>
      <c r="N24" s="23"/>
      <c r="O24" s="26"/>
      <c r="P24" s="28"/>
    </row>
    <row r="25" spans="1:16" ht="15" thickBot="1" x14ac:dyDescent="0.35">
      <c r="A25" s="48"/>
      <c r="B25" s="49"/>
      <c r="C25" s="59"/>
      <c r="D25" s="59"/>
      <c r="E25" s="59"/>
      <c r="F25" s="59"/>
      <c r="G25" s="56"/>
      <c r="H25" s="57"/>
      <c r="I25" s="12"/>
      <c r="J25" s="13"/>
      <c r="K25" s="24"/>
      <c r="L25" s="25"/>
      <c r="M25" s="27"/>
      <c r="N25" s="25"/>
      <c r="O25" s="27"/>
      <c r="P25" s="29"/>
    </row>
    <row r="26" spans="1:16" x14ac:dyDescent="0.3">
      <c r="A26" s="58">
        <f>SUM(((C24^-2)-(E24^-1))/((E24^-2)+(C24^-1)))</f>
        <v>0.18181818181818182</v>
      </c>
      <c r="B26" s="51"/>
      <c r="C26" s="51"/>
      <c r="D26" s="51"/>
      <c r="E26" s="51"/>
      <c r="F26" s="51"/>
      <c r="G26" s="51"/>
      <c r="H26" s="52"/>
      <c r="I26" s="2">
        <f>SUM((2*(K24)^(1/2))*((4*(5*K24*M24)^(1/2))-5*(M24^(1/2))))</f>
        <v>134.1640786499874</v>
      </c>
      <c r="J26" s="3"/>
      <c r="K26" s="3"/>
      <c r="L26" s="3"/>
      <c r="M26" s="3"/>
      <c r="N26" s="3"/>
      <c r="O26" s="3"/>
      <c r="P26" s="4"/>
    </row>
    <row r="27" spans="1:16" x14ac:dyDescent="0.3">
      <c r="A27" s="50"/>
      <c r="B27" s="51"/>
      <c r="C27" s="51"/>
      <c r="D27" s="51"/>
      <c r="E27" s="51"/>
      <c r="F27" s="51"/>
      <c r="G27" s="51"/>
      <c r="H27" s="52"/>
      <c r="I27" s="5"/>
      <c r="J27" s="6"/>
      <c r="K27" s="6"/>
      <c r="L27" s="6"/>
      <c r="M27" s="6"/>
      <c r="N27" s="6"/>
      <c r="O27" s="6"/>
      <c r="P27" s="7"/>
    </row>
    <row r="28" spans="1:16" ht="15" thickBot="1" x14ac:dyDescent="0.35">
      <c r="A28" s="53"/>
      <c r="B28" s="54"/>
      <c r="C28" s="54"/>
      <c r="D28" s="54"/>
      <c r="E28" s="54"/>
      <c r="F28" s="54"/>
      <c r="G28" s="54"/>
      <c r="H28" s="55"/>
      <c r="I28" s="5"/>
      <c r="J28" s="6"/>
      <c r="K28" s="6"/>
      <c r="L28" s="6"/>
      <c r="M28" s="6"/>
      <c r="N28" s="6"/>
      <c r="O28" s="6"/>
      <c r="P28" s="7"/>
    </row>
    <row r="29" spans="1:16" x14ac:dyDescent="0.3">
      <c r="A29" s="46" t="s">
        <v>10</v>
      </c>
      <c r="B29" s="47"/>
      <c r="C29" s="32" t="s">
        <v>11</v>
      </c>
      <c r="D29" s="32"/>
      <c r="E29" s="32" t="s">
        <v>12</v>
      </c>
      <c r="F29" s="32"/>
      <c r="G29" s="32"/>
      <c r="H29" s="39"/>
    </row>
    <row r="30" spans="1:16" x14ac:dyDescent="0.3">
      <c r="A30" s="48"/>
      <c r="B30" s="49"/>
      <c r="C30" s="34"/>
      <c r="D30" s="34"/>
      <c r="E30" s="34"/>
      <c r="F30" s="34"/>
      <c r="G30" s="34"/>
      <c r="H30" s="40"/>
      <c r="J30" s="68"/>
      <c r="K30" s="68"/>
      <c r="L30" s="30"/>
      <c r="M30" s="30"/>
      <c r="N30" s="30"/>
      <c r="O30" s="30"/>
    </row>
    <row r="31" spans="1:16" x14ac:dyDescent="0.3">
      <c r="A31" s="48"/>
      <c r="B31" s="49"/>
      <c r="C31" s="59">
        <v>-2</v>
      </c>
      <c r="D31" s="59"/>
      <c r="E31" s="56">
        <v>0.5</v>
      </c>
      <c r="F31" s="56"/>
      <c r="G31" s="56"/>
      <c r="H31" s="57"/>
      <c r="J31" s="68"/>
      <c r="K31" s="68"/>
      <c r="L31" s="30"/>
      <c r="M31" s="30"/>
      <c r="N31" s="30"/>
      <c r="O31" s="30"/>
    </row>
    <row r="32" spans="1:16" x14ac:dyDescent="0.3">
      <c r="A32" s="48"/>
      <c r="B32" s="49"/>
      <c r="C32" s="59"/>
      <c r="D32" s="59"/>
      <c r="E32" s="56"/>
      <c r="F32" s="56"/>
      <c r="G32" s="56"/>
      <c r="H32" s="57"/>
      <c r="L32" s="68"/>
      <c r="M32" s="30"/>
    </row>
    <row r="33" spans="1:13" x14ac:dyDescent="0.3">
      <c r="A33" s="60">
        <f>SUM((((2*(C31)+3)/C31)*(1-(2/E31))/((C31)^3+(C31/E31))))</f>
        <v>0.125</v>
      </c>
      <c r="B33" s="61"/>
      <c r="C33" s="61"/>
      <c r="D33" s="61"/>
      <c r="E33" s="61"/>
      <c r="F33" s="61"/>
      <c r="G33" s="61"/>
      <c r="H33" s="62"/>
      <c r="L33" s="30"/>
      <c r="M33" s="30"/>
    </row>
    <row r="34" spans="1:13" x14ac:dyDescent="0.3">
      <c r="A34" s="5"/>
      <c r="B34" s="6"/>
      <c r="C34" s="6"/>
      <c r="D34" s="6"/>
      <c r="E34" s="6"/>
      <c r="F34" s="6"/>
      <c r="G34" s="6"/>
      <c r="H34" s="7"/>
      <c r="L34" s="68"/>
      <c r="M34" s="30"/>
    </row>
    <row r="35" spans="1:13" ht="15" thickBot="1" x14ac:dyDescent="0.35">
      <c r="A35" s="63"/>
      <c r="B35" s="64"/>
      <c r="C35" s="64"/>
      <c r="D35" s="64"/>
      <c r="E35" s="64"/>
      <c r="F35" s="64"/>
      <c r="G35" s="64"/>
      <c r="H35" s="65"/>
      <c r="L35" s="30"/>
      <c r="M35" s="30"/>
    </row>
  </sheetData>
  <mergeCells count="77">
    <mergeCell ref="J30:K31"/>
    <mergeCell ref="L30:M31"/>
    <mergeCell ref="N30:O31"/>
    <mergeCell ref="L32:M33"/>
    <mergeCell ref="L34:M35"/>
    <mergeCell ref="I12:P14"/>
    <mergeCell ref="I1:J4"/>
    <mergeCell ref="K3:L4"/>
    <mergeCell ref="M3:N4"/>
    <mergeCell ref="O3:P4"/>
    <mergeCell ref="I5:P7"/>
    <mergeCell ref="I8:J11"/>
    <mergeCell ref="K8:L9"/>
    <mergeCell ref="M8:N9"/>
    <mergeCell ref="O8:P9"/>
    <mergeCell ref="K1:L2"/>
    <mergeCell ref="M1:N2"/>
    <mergeCell ref="O1:P2"/>
    <mergeCell ref="K10:L11"/>
    <mergeCell ref="M10:N11"/>
    <mergeCell ref="O10:P11"/>
    <mergeCell ref="A33:H35"/>
    <mergeCell ref="A26:H28"/>
    <mergeCell ref="A29:B32"/>
    <mergeCell ref="C29:D30"/>
    <mergeCell ref="E29:F30"/>
    <mergeCell ref="G29:H30"/>
    <mergeCell ref="C31:D32"/>
    <mergeCell ref="E31:F32"/>
    <mergeCell ref="G31:H32"/>
    <mergeCell ref="A19:H21"/>
    <mergeCell ref="A22:B25"/>
    <mergeCell ref="C22:D23"/>
    <mergeCell ref="E22:F23"/>
    <mergeCell ref="G22:H23"/>
    <mergeCell ref="C24:D25"/>
    <mergeCell ref="E24:F25"/>
    <mergeCell ref="G24:H25"/>
    <mergeCell ref="C8:D9"/>
    <mergeCell ref="A15:B18"/>
    <mergeCell ref="C15:D16"/>
    <mergeCell ref="E15:F16"/>
    <mergeCell ref="G15:H16"/>
    <mergeCell ref="C17:D18"/>
    <mergeCell ref="E17:F18"/>
    <mergeCell ref="G17:H18"/>
    <mergeCell ref="C1:D2"/>
    <mergeCell ref="C3:D4"/>
    <mergeCell ref="E1:F2"/>
    <mergeCell ref="G1:H2"/>
    <mergeCell ref="E3:F4"/>
    <mergeCell ref="G3:H4"/>
    <mergeCell ref="A5:H7"/>
    <mergeCell ref="A1:B4"/>
    <mergeCell ref="A8:B11"/>
    <mergeCell ref="A12:H14"/>
    <mergeCell ref="G10:H11"/>
    <mergeCell ref="E10:F11"/>
    <mergeCell ref="C10:D11"/>
    <mergeCell ref="G8:H9"/>
    <mergeCell ref="E8:F9"/>
    <mergeCell ref="I15:J18"/>
    <mergeCell ref="K15:L16"/>
    <mergeCell ref="M15:N16"/>
    <mergeCell ref="O15:P16"/>
    <mergeCell ref="K17:L18"/>
    <mergeCell ref="M17:N18"/>
    <mergeCell ref="O17:P18"/>
    <mergeCell ref="I26:P28"/>
    <mergeCell ref="I19:P21"/>
    <mergeCell ref="I22:J25"/>
    <mergeCell ref="K22:L23"/>
    <mergeCell ref="M22:N23"/>
    <mergeCell ref="O22:P23"/>
    <mergeCell ref="K24:L25"/>
    <mergeCell ref="M24:N25"/>
    <mergeCell ref="O24:P2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5100-F218-46C1-813F-3206C67D5242}">
  <dimension ref="A1:N14"/>
  <sheetViews>
    <sheetView workbookViewId="0">
      <selection activeCell="J11" sqref="J11"/>
    </sheetView>
  </sheetViews>
  <sheetFormatPr defaultRowHeight="14.4" x14ac:dyDescent="0.3"/>
  <cols>
    <col min="1" max="2" width="9.6640625" bestFit="1" customWidth="1"/>
    <col min="3" max="3" width="10.6640625" bestFit="1" customWidth="1"/>
    <col min="7" max="8" width="9" bestFit="1" customWidth="1"/>
    <col min="9" max="9" width="9.6640625" bestFit="1" customWidth="1"/>
    <col min="10" max="10" width="9" bestFit="1" customWidth="1"/>
  </cols>
  <sheetData>
    <row r="1" spans="1:14" x14ac:dyDescent="0.3">
      <c r="A1" s="46" t="s">
        <v>9</v>
      </c>
      <c r="B1" s="47"/>
      <c r="C1" s="32" t="s">
        <v>1</v>
      </c>
      <c r="D1" s="32"/>
      <c r="E1" s="32" t="s">
        <v>7</v>
      </c>
      <c r="F1" s="32"/>
      <c r="G1" s="8" t="s">
        <v>13</v>
      </c>
      <c r="H1" s="9"/>
      <c r="I1" s="31" t="s">
        <v>1</v>
      </c>
      <c r="J1" s="32"/>
      <c r="K1" s="32" t="s">
        <v>7</v>
      </c>
      <c r="L1" s="32"/>
      <c r="M1" s="32" t="s">
        <v>8</v>
      </c>
      <c r="N1" s="39"/>
    </row>
    <row r="2" spans="1:14" x14ac:dyDescent="0.3">
      <c r="A2" s="48"/>
      <c r="B2" s="49"/>
      <c r="C2" s="34"/>
      <c r="D2" s="34"/>
      <c r="E2" s="34"/>
      <c r="F2" s="34"/>
      <c r="G2" s="10"/>
      <c r="H2" s="11"/>
      <c r="I2" s="33"/>
      <c r="J2" s="34"/>
      <c r="K2" s="34"/>
      <c r="L2" s="34"/>
      <c r="M2" s="34"/>
      <c r="N2" s="40"/>
    </row>
    <row r="3" spans="1:14" x14ac:dyDescent="0.3">
      <c r="A3" s="48"/>
      <c r="B3" s="49"/>
      <c r="C3" s="59">
        <v>-3</v>
      </c>
      <c r="D3" s="59"/>
      <c r="E3" s="59">
        <v>6</v>
      </c>
      <c r="F3" s="59"/>
      <c r="G3" s="10"/>
      <c r="H3" s="11"/>
      <c r="I3" s="35">
        <v>-8</v>
      </c>
      <c r="J3" s="36"/>
      <c r="K3" s="36">
        <v>2</v>
      </c>
      <c r="L3" s="36"/>
      <c r="M3" s="56">
        <v>0.25</v>
      </c>
      <c r="N3" s="57"/>
    </row>
    <row r="4" spans="1:14" ht="15" thickBot="1" x14ac:dyDescent="0.35">
      <c r="A4" s="48"/>
      <c r="B4" s="49"/>
      <c r="C4" s="59"/>
      <c r="D4" s="59"/>
      <c r="E4" s="59"/>
      <c r="F4" s="59"/>
      <c r="G4" s="12"/>
      <c r="H4" s="13"/>
      <c r="I4" s="37"/>
      <c r="J4" s="38"/>
      <c r="K4" s="38"/>
      <c r="L4" s="38"/>
      <c r="M4" s="66"/>
      <c r="N4" s="67"/>
    </row>
    <row r="5" spans="1:14" x14ac:dyDescent="0.3">
      <c r="A5">
        <f>SUM(-3^-2)</f>
        <v>0.1111111111111111</v>
      </c>
      <c r="B5">
        <f>SUM(6^-1)</f>
        <v>0.16666666666666666</v>
      </c>
      <c r="C5">
        <f>SUM(A5-B5)</f>
        <v>-5.5555555555555552E-2</v>
      </c>
      <c r="G5" s="1">
        <f>SUM(2^-2)</f>
        <v>0.25</v>
      </c>
      <c r="H5" s="1">
        <v>0.25</v>
      </c>
      <c r="I5" s="1">
        <f>SUM(-8^(1/3))</f>
        <v>-1.9999999999999998</v>
      </c>
      <c r="J5" s="1">
        <f>SUM(G5*H5*I5)</f>
        <v>-0.12499999999999999</v>
      </c>
    </row>
    <row r="6" spans="1:14" x14ac:dyDescent="0.3">
      <c r="A6">
        <f>SUM(6^-2)</f>
        <v>2.7777777777777776E-2</v>
      </c>
      <c r="B6">
        <f>SUM(-3^-1)</f>
        <v>-0.33333333333333331</v>
      </c>
      <c r="C6">
        <f>SUM(A6-B6)</f>
        <v>0.3611111111111111</v>
      </c>
    </row>
    <row r="7" spans="1:14" ht="15" thickBot="1" x14ac:dyDescent="0.35">
      <c r="C7" s="1">
        <f>SUM(C5/C6)</f>
        <v>-0.15384615384615383</v>
      </c>
    </row>
    <row r="8" spans="1:14" x14ac:dyDescent="0.3">
      <c r="A8" s="46" t="s">
        <v>10</v>
      </c>
      <c r="B8" s="47"/>
      <c r="C8" s="32" t="s">
        <v>11</v>
      </c>
      <c r="D8" s="32"/>
      <c r="E8" s="32" t="s">
        <v>12</v>
      </c>
      <c r="F8" s="32"/>
    </row>
    <row r="9" spans="1:14" x14ac:dyDescent="0.3">
      <c r="A9" s="48"/>
      <c r="B9" s="49"/>
      <c r="C9" s="34"/>
      <c r="D9" s="34"/>
      <c r="E9" s="34"/>
      <c r="F9" s="34"/>
    </row>
    <row r="10" spans="1:14" x14ac:dyDescent="0.3">
      <c r="A10" s="48"/>
      <c r="B10" s="49"/>
      <c r="C10" s="59">
        <v>-2</v>
      </c>
      <c r="D10" s="59"/>
      <c r="E10" s="56">
        <v>0.5</v>
      </c>
      <c r="F10" s="56"/>
    </row>
    <row r="11" spans="1:14" x14ac:dyDescent="0.3">
      <c r="A11" s="48"/>
      <c r="B11" s="49"/>
      <c r="C11" s="59"/>
      <c r="D11" s="59"/>
      <c r="E11" s="56"/>
      <c r="F11" s="56"/>
    </row>
    <row r="12" spans="1:14" x14ac:dyDescent="0.3">
      <c r="A12" s="1">
        <f>SUM((2*(-2)+3)/-2)</f>
        <v>0.5</v>
      </c>
      <c r="B12" s="1">
        <f>SUM(1-(2/(1/2)))</f>
        <v>-3</v>
      </c>
      <c r="C12" s="1">
        <f>SUM(A12*B12)</f>
        <v>-1.5</v>
      </c>
    </row>
    <row r="13" spans="1:14" x14ac:dyDescent="0.3">
      <c r="A13" s="1">
        <f>SUM(-2^3)</f>
        <v>-8</v>
      </c>
      <c r="B13" s="1">
        <f>SUM(-2/(1/2))</f>
        <v>-4</v>
      </c>
      <c r="C13" s="1">
        <f>SUM(A13+B13)</f>
        <v>-12</v>
      </c>
    </row>
    <row r="14" spans="1:14" x14ac:dyDescent="0.3">
      <c r="A14" s="1"/>
      <c r="B14" s="1"/>
      <c r="C14" s="1">
        <f>SUM(C12/C13)</f>
        <v>0.125</v>
      </c>
    </row>
  </sheetData>
  <mergeCells count="17">
    <mergeCell ref="G1:H4"/>
    <mergeCell ref="I1:J2"/>
    <mergeCell ref="K1:L2"/>
    <mergeCell ref="M1:N2"/>
    <mergeCell ref="I3:J4"/>
    <mergeCell ref="K3:L4"/>
    <mergeCell ref="M3:N4"/>
    <mergeCell ref="A1:B4"/>
    <mergeCell ref="C1:D2"/>
    <mergeCell ref="E1:F2"/>
    <mergeCell ref="C3:D4"/>
    <mergeCell ref="E3:F4"/>
    <mergeCell ref="A8:B11"/>
    <mergeCell ref="C8:D9"/>
    <mergeCell ref="E8:F9"/>
    <mergeCell ref="C10:D11"/>
    <mergeCell ref="E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Ponce Diñiguez</dc:creator>
  <cp:lastModifiedBy>Guillermo Ponce Diñiguez</cp:lastModifiedBy>
  <dcterms:created xsi:type="dcterms:W3CDTF">2025-09-21T04:54:41Z</dcterms:created>
  <dcterms:modified xsi:type="dcterms:W3CDTF">2025-09-26T02:09:45Z</dcterms:modified>
</cp:coreProperties>
</file>